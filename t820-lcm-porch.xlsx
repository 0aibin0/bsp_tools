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A68AB58E-4FDE-4FBB-A5E9-DB89880398CB}" xr6:coauthVersionLast="36" xr6:coauthVersionMax="36" xr10:uidLastSave="{00000000-0000-0000-0000-000000000000}"/>
  <bookViews>
    <workbookView xWindow="0" yWindow="0" windowWidth="17415" windowHeight="7470" xr2:uid="{00000000-000D-0000-FFFF-FFFF00000000}"/>
  </bookViews>
  <sheets>
    <sheet name="MIPI CLK计算表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G5" i="1" l="1"/>
  <c r="H3" i="1" s="1"/>
  <c r="H2" i="1" l="1"/>
  <c r="F5" i="1" s="1"/>
  <c r="H5" i="1"/>
  <c r="H11" i="1" l="1"/>
  <c r="F11" i="1" s="1"/>
  <c r="H6" i="1"/>
  <c r="G6" i="1" l="1"/>
  <c r="F6" i="1"/>
</calcChain>
</file>

<file path=xl/sharedStrings.xml><?xml version="1.0" encoding="utf-8"?>
<sst xmlns="http://schemas.openxmlformats.org/spreadsheetml/2006/main" count="19" uniqueCount="19">
  <si>
    <t>.hfp</t>
  </si>
  <si>
    <t>.hbp</t>
  </si>
  <si>
    <t>need_clock/2</t>
    <phoneticPr fontId="2" type="noConversion"/>
  </si>
  <si>
    <t>.hsync</t>
  </si>
  <si>
    <t>SPRDFB_DPI_CLOCK_SRC - dividor*need_clock</t>
  </si>
  <si>
    <t>.vfp</t>
  </si>
  <si>
    <t>dividor</t>
  </si>
  <si>
    <t>.vbp</t>
  </si>
  <si>
    <t>Fps</t>
  </si>
  <si>
    <t>.vsync</t>
  </si>
  <si>
    <t>.width</t>
  </si>
  <si>
    <t xml:space="preserve">.height </t>
  </si>
  <si>
    <t>mipi clk (M)</t>
    <phoneticPr fontId="2" type="noConversion"/>
  </si>
  <si>
    <t xml:space="preserve">.fps </t>
    <phoneticPr fontId="2" type="noConversion"/>
  </si>
  <si>
    <t>.lan_number</t>
  </si>
  <si>
    <t>SPRDFB_DPI_CLOCK_SRC</t>
  </si>
  <si>
    <r>
      <t xml:space="preserve">(SPRDFB_DPI_CLOCK_SRC - dividor*need_clock) &gt; (need_clock/2) </t>
    </r>
    <r>
      <rPr>
        <sz val="16"/>
        <color theme="1"/>
        <rFont val="叶根友毛笔行书2.0版"/>
        <charset val="134"/>
      </rPr>
      <t>则</t>
    </r>
    <r>
      <rPr>
        <sz val="16"/>
        <color theme="1"/>
        <rFont val="Times New Roman"/>
        <family val="1"/>
      </rPr>
      <t xml:space="preserve"> dividor+1</t>
    </r>
    <phoneticPr fontId="2" type="noConversion"/>
  </si>
  <si>
    <t>Dpi_need_clk</t>
    <phoneticPr fontId="1" type="noConversion"/>
  </si>
  <si>
    <t>(DPI_CLK_SRC/DEVIDOR) × 3 × 8bit &lt; phy_feq × lane_num × 0.9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</si>
</sst>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新細明體"/>
      <family val="2"/>
      <scheme val="minor"/>
    </font>
    <font>
      <sz val="9"/>
      <name val="新細明體"/>
      <family val="3"/>
      <charset val="134"/>
      <scheme val="minor"/>
    </font>
    <font>
      <sz val="9"/>
      <name val="宋体"/>
      <family val="3"/>
      <charset val="134"/>
    </font>
    <font>
      <b/>
      <sz val="16"/>
      <color rgb="FF00000A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color rgb="FF00000A"/>
      <name val="Times New Roman"/>
      <family val="1"/>
    </font>
    <font>
      <b/>
      <sz val="16"/>
      <color theme="0"/>
      <name val="Times New Roman"/>
      <family val="1"/>
    </font>
    <font>
      <sz val="16"/>
      <color theme="1"/>
      <name val="叶根友毛笔行书2.0版"/>
      <charset val="134"/>
    </font>
    <font>
      <sz val="16"/>
      <color rgb="FF8000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BDEF9"/>
        <bgColor indexed="64"/>
      </patternFill>
    </fill>
    <fill>
      <patternFill patternType="solid">
        <fgColor rgb="FFEC701C"/>
        <bgColor indexed="64"/>
      </patternFill>
    </fill>
    <fill>
      <patternFill patternType="solid">
        <fgColor rgb="FF96DAFC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6" borderId="1" xfId="0" applyFont="1" applyFill="1" applyBorder="1" applyAlignment="1">
      <alignment horizontal="right" vertical="center"/>
    </xf>
    <xf numFmtId="0" fontId="4" fillId="11" borderId="1" xfId="0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4" fillId="11" borderId="1" xfId="0" quotePrefix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7" fillId="5" borderId="0" xfId="0" applyFont="1" applyFill="1" applyAlignment="1">
      <alignment vertical="center"/>
    </xf>
    <xf numFmtId="0" fontId="9" fillId="0" borderId="0" xfId="0" applyFont="1" applyAlignment="1">
      <alignment horizontal="justify" vertical="center"/>
    </xf>
    <xf numFmtId="0" fontId="4" fillId="10" borderId="1" xfId="0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right" vertical="center"/>
    </xf>
    <xf numFmtId="0" fontId="4" fillId="9" borderId="1" xfId="0" applyFont="1" applyFill="1" applyBorder="1" applyAlignment="1">
      <alignment horizontal="right" vertical="center"/>
    </xf>
    <xf numFmtId="0" fontId="3" fillId="12" borderId="1" xfId="0" applyFont="1" applyFill="1" applyBorder="1" applyAlignment="1">
      <alignment horizontal="right" vertical="center"/>
    </xf>
    <xf numFmtId="0" fontId="4" fillId="11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96DAFC"/>
      <color rgb="FFEC701C"/>
      <color rgb="FF6BD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C7" sqref="C7"/>
    </sheetView>
  </sheetViews>
  <sheetFormatPr defaultRowHeight="15.75"/>
  <cols>
    <col min="1" max="1" width="23.7109375" bestFit="1" customWidth="1"/>
    <col min="2" max="2" width="16.85546875" bestFit="1" customWidth="1"/>
    <col min="4" max="4" width="9" customWidth="1"/>
    <col min="5" max="5" width="18.28515625" customWidth="1"/>
    <col min="6" max="6" width="46.7109375" customWidth="1"/>
    <col min="7" max="7" width="75.140625" customWidth="1"/>
    <col min="8" max="8" width="16.140625" bestFit="1" customWidth="1"/>
  </cols>
  <sheetData>
    <row r="1" spans="1:8" ht="20.25">
      <c r="A1" s="1" t="s">
        <v>0</v>
      </c>
      <c r="B1" s="2">
        <v>40</v>
      </c>
      <c r="C1" s="3"/>
      <c r="D1" s="3"/>
      <c r="E1" s="3"/>
      <c r="F1" s="3"/>
      <c r="G1" s="3"/>
      <c r="H1" s="3"/>
    </row>
    <row r="2" spans="1:8" ht="20.25">
      <c r="A2" s="1" t="s">
        <v>1</v>
      </c>
      <c r="B2" s="4">
        <v>40</v>
      </c>
      <c r="C2" s="3"/>
      <c r="D2" s="3"/>
      <c r="E2" s="3"/>
      <c r="F2" s="3"/>
      <c r="G2" s="5" t="s">
        <v>2</v>
      </c>
      <c r="H2" s="6">
        <f>F4/2</f>
        <v>78078000</v>
      </c>
    </row>
    <row r="3" spans="1:8" ht="20.25">
      <c r="A3" s="1" t="s">
        <v>3</v>
      </c>
      <c r="B3" s="2">
        <v>20</v>
      </c>
      <c r="C3" s="3"/>
      <c r="D3" s="3"/>
      <c r="E3" s="3"/>
      <c r="F3" s="3"/>
      <c r="G3" s="5" t="s">
        <v>4</v>
      </c>
      <c r="H3" s="6">
        <f>B15-G5*F4</f>
        <v>71688000</v>
      </c>
    </row>
    <row r="4" spans="1:8" ht="20.25">
      <c r="A4" s="7"/>
      <c r="B4" s="8"/>
      <c r="C4" s="3"/>
      <c r="D4" s="3"/>
      <c r="E4" s="9" t="s">
        <v>17</v>
      </c>
      <c r="F4" s="10">
        <f>(B1+B2+B3+B9)*(B5+B6+B7+B10)*B12</f>
        <v>156156000</v>
      </c>
      <c r="G4" s="3"/>
      <c r="H4" s="3"/>
    </row>
    <row r="5" spans="1:8" ht="20.25">
      <c r="A5" s="1" t="s">
        <v>5</v>
      </c>
      <c r="B5" s="20">
        <v>62</v>
      </c>
      <c r="C5" s="3"/>
      <c r="D5" s="3"/>
      <c r="E5" s="9" t="s">
        <v>6</v>
      </c>
      <c r="F5" s="10">
        <f>IF(H2&gt;H3,G5,G5+1)</f>
        <v>2</v>
      </c>
      <c r="G5" s="3">
        <f>INT(B15/F4)</f>
        <v>2</v>
      </c>
      <c r="H5" s="3">
        <f>B15/F4</f>
        <v>2.4590793821563053</v>
      </c>
    </row>
    <row r="6" spans="1:8" ht="20.25">
      <c r="A6" s="1" t="s">
        <v>7</v>
      </c>
      <c r="B6" s="2">
        <v>12</v>
      </c>
      <c r="C6" s="3"/>
      <c r="D6" s="3"/>
      <c r="E6" s="9" t="s">
        <v>8</v>
      </c>
      <c r="F6" s="10">
        <f>INT(H6)</f>
        <v>73</v>
      </c>
      <c r="G6" s="3">
        <f>INT(H6)</f>
        <v>73</v>
      </c>
      <c r="H6" s="3">
        <f>B15/F5/(B1+B2+B3+B9)/(B5+B6+B7+B10)</f>
        <v>73.772381464689161</v>
      </c>
    </row>
    <row r="7" spans="1:8" ht="20.25">
      <c r="A7" s="1" t="s">
        <v>9</v>
      </c>
      <c r="B7" s="2">
        <v>8</v>
      </c>
      <c r="C7" s="3"/>
      <c r="D7" s="3"/>
      <c r="E7" s="3"/>
      <c r="F7" s="3"/>
      <c r="G7" s="3"/>
      <c r="H7" s="3"/>
    </row>
    <row r="8" spans="1:8" ht="20.25">
      <c r="A8" s="8"/>
      <c r="B8" s="8"/>
      <c r="C8" s="3"/>
      <c r="D8" s="3"/>
      <c r="E8" s="21" t="s">
        <v>16</v>
      </c>
      <c r="F8" s="21"/>
      <c r="G8" s="21"/>
      <c r="H8" s="21"/>
    </row>
    <row r="9" spans="1:8" ht="20.25">
      <c r="A9" s="11" t="s">
        <v>10</v>
      </c>
      <c r="B9" s="12">
        <v>1200</v>
      </c>
      <c r="C9" s="3"/>
      <c r="D9" s="3"/>
      <c r="E9" s="3"/>
      <c r="F9" s="3"/>
      <c r="G9" s="3"/>
      <c r="H9" s="3"/>
    </row>
    <row r="10" spans="1:8" ht="20.25">
      <c r="A10" s="11" t="s">
        <v>11</v>
      </c>
      <c r="B10" s="12">
        <v>1920</v>
      </c>
      <c r="C10" s="3"/>
      <c r="D10" s="3"/>
      <c r="E10" s="3"/>
      <c r="F10" s="3"/>
      <c r="G10" s="3"/>
      <c r="H10" s="3"/>
    </row>
    <row r="11" spans="1:8" ht="40.5">
      <c r="A11" s="3"/>
      <c r="B11" s="8"/>
      <c r="C11" s="3"/>
      <c r="D11" s="3"/>
      <c r="E11" s="13" t="s">
        <v>12</v>
      </c>
      <c r="F11" s="14">
        <f>INT(H11/1000000)</f>
        <v>1280</v>
      </c>
      <c r="G11" s="15" t="s">
        <v>18</v>
      </c>
      <c r="H11" s="3">
        <f>(B15/F5)*3*8/0.9/B13</f>
        <v>1280000000</v>
      </c>
    </row>
    <row r="12" spans="1:8" ht="20.25">
      <c r="A12" s="19" t="s">
        <v>13</v>
      </c>
      <c r="B12" s="16">
        <v>60</v>
      </c>
      <c r="C12" s="3"/>
      <c r="D12" s="3"/>
      <c r="E12" s="3"/>
      <c r="F12" s="3"/>
      <c r="G12" s="3"/>
      <c r="H12" s="3"/>
    </row>
    <row r="13" spans="1:8" ht="20.25">
      <c r="A13" s="19" t="s">
        <v>14</v>
      </c>
      <c r="B13" s="16">
        <v>4</v>
      </c>
      <c r="C13" s="3"/>
      <c r="D13" s="3"/>
      <c r="E13" s="3"/>
      <c r="F13" s="3"/>
      <c r="G13" s="3"/>
      <c r="H13" s="3"/>
    </row>
    <row r="14" spans="1:8" ht="20.25">
      <c r="A14" s="3"/>
      <c r="B14" s="3"/>
      <c r="C14" s="3"/>
      <c r="D14" s="3"/>
      <c r="E14" s="3"/>
      <c r="F14" s="3"/>
      <c r="G14" s="3"/>
      <c r="H14" s="3"/>
    </row>
    <row r="15" spans="1:8" ht="20.25">
      <c r="A15" s="17" t="s">
        <v>15</v>
      </c>
      <c r="B15" s="18">
        <v>384000000</v>
      </c>
      <c r="C15" s="3"/>
      <c r="D15" s="3"/>
      <c r="E15" s="3"/>
      <c r="F15" s="3"/>
      <c r="G15" s="3"/>
      <c r="H15" s="3"/>
    </row>
  </sheetData>
  <protectedRanges>
    <protectedRange sqref="B1:B15" name="区域1"/>
  </protectedRanges>
  <mergeCells count="1">
    <mergeCell ref="E8:H8"/>
  </mergeCells>
  <phoneticPr fontId="1" type="noConversion"/>
  <pageMargins left="0.7" right="0.7" top="0.75" bottom="0.75" header="0.3" footer="0.3"/>
  <pageSetup paperSize="9" orientation="portrait" horizontalDpi="90" verticalDpi="90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MIPI CLK计算表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2025-09-12T07:52:33Z</dcterms:modified>
</cp:coreProperties>
</file>